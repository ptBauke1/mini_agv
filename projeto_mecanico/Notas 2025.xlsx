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heus\Desktop\"/>
    </mc:Choice>
  </mc:AlternateContent>
  <xr:revisionPtr revIDLastSave="0" documentId="13_ncr:1_{79BE7BB1-B96B-44E7-B9EB-4FDBCBB68C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ta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5" l="1"/>
  <c r="F5" i="5" s="1"/>
  <c r="R15" i="5"/>
  <c r="F19" i="5" s="1"/>
  <c r="H19" i="5" s="1"/>
  <c r="R13" i="5"/>
  <c r="F15" i="5" s="1"/>
  <c r="H15" i="5" s="1"/>
  <c r="R14" i="5"/>
  <c r="F17" i="5" s="1"/>
  <c r="H17" i="5" s="1"/>
  <c r="R12" i="5"/>
  <c r="F13" i="5" s="1"/>
  <c r="Q4" i="5"/>
  <c r="D5" i="5" s="1"/>
  <c r="R11" i="5"/>
  <c r="F11" i="5" s="1"/>
  <c r="H11" i="5" s="1"/>
  <c r="R9" i="5"/>
  <c r="F7" i="5" s="1"/>
  <c r="H7" i="5" s="1"/>
  <c r="R10" i="5"/>
  <c r="F9" i="5" s="1"/>
  <c r="H9" i="5" s="1"/>
  <c r="Q5" i="5"/>
  <c r="D13" i="5" s="1"/>
  <c r="Q3" i="5"/>
  <c r="D3" i="5" s="1"/>
  <c r="H3" i="5" s="1"/>
  <c r="H13" i="5" l="1"/>
  <c r="H5" i="5"/>
</calcChain>
</file>

<file path=xl/sharedStrings.xml><?xml version="1.0" encoding="utf-8"?>
<sst xmlns="http://schemas.openxmlformats.org/spreadsheetml/2006/main" count="67" uniqueCount="36">
  <si>
    <t>-</t>
  </si>
  <si>
    <t>Modelagem</t>
  </si>
  <si>
    <t>P1</t>
  </si>
  <si>
    <t>P2</t>
  </si>
  <si>
    <t>P3</t>
  </si>
  <si>
    <t>P4</t>
  </si>
  <si>
    <t>MT</t>
  </si>
  <si>
    <t>MP</t>
  </si>
  <si>
    <t>T1</t>
  </si>
  <si>
    <t>T2</t>
  </si>
  <si>
    <t>T3</t>
  </si>
  <si>
    <t>T4</t>
  </si>
  <si>
    <t>Provas</t>
  </si>
  <si>
    <t>Trabalhos</t>
  </si>
  <si>
    <t>T5</t>
  </si>
  <si>
    <t>Automação e Sistemas Industriais</t>
  </si>
  <si>
    <t>Programação Orientada a
Objetos e Bancos de Dados</t>
  </si>
  <si>
    <t>Hidraulica e Pneumática</t>
  </si>
  <si>
    <t>Projeto de Máquinas e Mecanismos</t>
  </si>
  <si>
    <t>Microcontroladores e
Sistemas Microcontrolados</t>
  </si>
  <si>
    <t>Instrumentação</t>
  </si>
  <si>
    <t>Empreendedorismo e Gestão</t>
  </si>
  <si>
    <t>Média Provas</t>
  </si>
  <si>
    <t>Média Trabalho</t>
  </si>
  <si>
    <t>Média Final</t>
  </si>
  <si>
    <t>Controle 1</t>
  </si>
  <si>
    <t>Empreendedorismo</t>
  </si>
  <si>
    <t>Modelagem e Análise de 
Sistemas Dinâmicos</t>
  </si>
  <si>
    <t>Sistemas de Controle 1</t>
  </si>
  <si>
    <t>Automação</t>
  </si>
  <si>
    <t>Orientada a Objetos</t>
  </si>
  <si>
    <t>Projeto de Máquinas</t>
  </si>
  <si>
    <t>Microcontroladores</t>
  </si>
  <si>
    <t>objetivo</t>
  </si>
  <si>
    <t>8,5 - 10</t>
  </si>
  <si>
    <t>Passar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</si>
</sst>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63F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23D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9BC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ck">
        <color theme="1"/>
      </left>
      <right style="dashed">
        <color theme="1"/>
      </right>
      <top style="thick">
        <color theme="1"/>
      </top>
      <bottom style="medium">
        <color theme="1"/>
      </bottom>
      <diagonal/>
    </border>
    <border>
      <left style="dashed">
        <color theme="1"/>
      </left>
      <right style="dashed">
        <color theme="1"/>
      </right>
      <top style="thick">
        <color theme="1"/>
      </top>
      <bottom style="medium">
        <color theme="1"/>
      </bottom>
      <diagonal/>
    </border>
    <border>
      <left style="dashed">
        <color theme="1"/>
      </left>
      <right style="thick">
        <color theme="1"/>
      </right>
      <top style="thick">
        <color theme="1"/>
      </top>
      <bottom style="medium">
        <color theme="1"/>
      </bottom>
      <diagonal/>
    </border>
    <border>
      <left style="thick">
        <color theme="1"/>
      </left>
      <right style="dashed">
        <color theme="1"/>
      </right>
      <top style="medium">
        <color theme="1"/>
      </top>
      <bottom style="medium">
        <color theme="1"/>
      </bottom>
      <diagonal/>
    </border>
    <border>
      <left style="dashed">
        <color theme="1"/>
      </left>
      <right style="dashed">
        <color theme="1"/>
      </right>
      <top style="medium">
        <color theme="1"/>
      </top>
      <bottom style="medium">
        <color theme="1"/>
      </bottom>
      <diagonal/>
    </border>
    <border>
      <left style="dashed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thick">
        <color theme="1"/>
      </left>
      <right style="dashed">
        <color theme="1"/>
      </right>
      <top style="medium">
        <color theme="1"/>
      </top>
      <bottom style="thick">
        <color theme="1"/>
      </bottom>
      <diagonal/>
    </border>
    <border>
      <left style="dashed">
        <color theme="1"/>
      </left>
      <right style="dashed">
        <color theme="1"/>
      </right>
      <top style="medium">
        <color theme="1"/>
      </top>
      <bottom style="thick">
        <color theme="1"/>
      </bottom>
      <diagonal/>
    </border>
    <border>
      <left style="dashed">
        <color theme="1"/>
      </left>
      <right style="thick">
        <color theme="1"/>
      </right>
      <top style="medium">
        <color theme="1"/>
      </top>
      <bottom style="thick">
        <color theme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medium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00B050"/>
        </patternFill>
      </fill>
    </dxf>
    <dxf>
      <font>
        <b val="0"/>
        <i/>
      </font>
      <fill>
        <patternFill>
          <bgColor rgb="FFFE4040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 val="0"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BD"/>
      <color rgb="FFFE4040"/>
      <color rgb="FFFF79BC"/>
      <color rgb="FFFF3399"/>
      <color rgb="FFFF3333"/>
      <color rgb="FF123DF6"/>
      <color rgb="FF1C26EC"/>
      <color rgb="FFC663FD"/>
      <color rgb="FFFE6666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B7ED-8DF5-4675-884C-09A2B3E23271}">
  <dimension ref="A1:R21"/>
  <sheetViews>
    <sheetView tabSelected="1" workbookViewId="0">
      <selection activeCell="D5" sqref="D5:E6"/>
    </sheetView>
  </sheetViews>
  <sheetFormatPr defaultColWidth="14.7109375" defaultRowHeight="25.5" customHeight="1" x14ac:dyDescent="0.25"/>
  <cols>
    <col min="1" max="16384" width="14.7109375" style="1"/>
  </cols>
  <sheetData>
    <row r="1" spans="1:18" ht="25.5" customHeight="1" thickTop="1" thickBot="1" x14ac:dyDescent="0.3">
      <c r="A1" s="49"/>
      <c r="B1" s="50"/>
      <c r="C1" s="50"/>
      <c r="D1" s="21" t="s">
        <v>22</v>
      </c>
      <c r="E1" s="21"/>
      <c r="F1" s="21" t="s">
        <v>23</v>
      </c>
      <c r="G1" s="21"/>
      <c r="H1" s="21" t="s">
        <v>24</v>
      </c>
      <c r="I1" s="43"/>
      <c r="K1" s="74" t="s">
        <v>12</v>
      </c>
      <c r="L1" s="75"/>
      <c r="M1" s="75"/>
      <c r="N1" s="75"/>
      <c r="O1" s="75"/>
      <c r="P1" s="75"/>
      <c r="Q1" s="76"/>
    </row>
    <row r="2" spans="1:18" ht="25.5" customHeight="1" thickBot="1" x14ac:dyDescent="0.3">
      <c r="A2" s="51"/>
      <c r="B2" s="52"/>
      <c r="C2" s="52"/>
      <c r="D2" s="22"/>
      <c r="E2" s="22"/>
      <c r="F2" s="22"/>
      <c r="G2" s="22"/>
      <c r="H2" s="22"/>
      <c r="I2" s="44"/>
      <c r="K2" s="68"/>
      <c r="L2" s="69"/>
      <c r="M2" s="8" t="s">
        <v>2</v>
      </c>
      <c r="N2" s="8" t="s">
        <v>3</v>
      </c>
      <c r="O2" s="8" t="s">
        <v>4</v>
      </c>
      <c r="P2" s="8" t="s">
        <v>5</v>
      </c>
      <c r="Q2" s="9" t="s">
        <v>7</v>
      </c>
    </row>
    <row r="3" spans="1:18" ht="25.5" customHeight="1" thickBot="1" x14ac:dyDescent="0.3">
      <c r="A3" s="25" t="s">
        <v>27</v>
      </c>
      <c r="B3" s="26"/>
      <c r="C3" s="26"/>
      <c r="D3" s="23">
        <f>Q3</f>
        <v>0</v>
      </c>
      <c r="E3" s="23"/>
      <c r="F3" s="23">
        <v>9</v>
      </c>
      <c r="G3" s="23"/>
      <c r="H3" s="39">
        <f>(0.7*D3)+(0.3*F3)</f>
        <v>2.6999999999999997</v>
      </c>
      <c r="I3" s="40"/>
      <c r="J3" s="1" t="s">
        <v>33</v>
      </c>
      <c r="K3" s="70" t="s">
        <v>1</v>
      </c>
      <c r="L3" s="71"/>
      <c r="M3" s="3" t="s">
        <v>0</v>
      </c>
      <c r="N3" s="2"/>
      <c r="O3" s="3" t="s">
        <v>0</v>
      </c>
      <c r="P3" s="2"/>
      <c r="Q3" s="10">
        <f>(0.4*N3)+(0.6*P3)</f>
        <v>0</v>
      </c>
    </row>
    <row r="4" spans="1:18" ht="25.5" customHeight="1" thickBot="1" x14ac:dyDescent="0.3">
      <c r="A4" s="25"/>
      <c r="B4" s="26"/>
      <c r="C4" s="26"/>
      <c r="D4" s="23"/>
      <c r="E4" s="23"/>
      <c r="F4" s="23"/>
      <c r="G4" s="23"/>
      <c r="H4" s="39"/>
      <c r="I4" s="40"/>
      <c r="J4" s="1" t="s">
        <v>35</v>
      </c>
      <c r="K4" s="56" t="s">
        <v>25</v>
      </c>
      <c r="L4" s="57"/>
      <c r="M4" s="2"/>
      <c r="N4" s="2"/>
      <c r="O4" s="2"/>
      <c r="P4" s="2"/>
      <c r="Q4" s="10">
        <f>(0.2*M4)+(0.2*N4)+(0.3*O4)+(0.3*P4)</f>
        <v>0</v>
      </c>
    </row>
    <row r="5" spans="1:18" ht="25.5" customHeight="1" thickBot="1" x14ac:dyDescent="0.3">
      <c r="A5" s="27" t="s">
        <v>28</v>
      </c>
      <c r="B5" s="28"/>
      <c r="C5" s="28"/>
      <c r="D5" s="23">
        <f>Q4</f>
        <v>0</v>
      </c>
      <c r="E5" s="23"/>
      <c r="F5" s="23">
        <f>R8</f>
        <v>0</v>
      </c>
      <c r="G5" s="23"/>
      <c r="H5" s="39">
        <f>(0.7*D5)+(0.3*F5)</f>
        <v>0</v>
      </c>
      <c r="I5" s="40"/>
      <c r="J5" s="1" t="s">
        <v>33</v>
      </c>
      <c r="K5" s="72" t="s">
        <v>31</v>
      </c>
      <c r="L5" s="73"/>
      <c r="M5" s="6" t="s">
        <v>0</v>
      </c>
      <c r="N5" s="7"/>
      <c r="O5" s="6" t="s">
        <v>0</v>
      </c>
      <c r="P5" s="7"/>
      <c r="Q5" s="11">
        <f>(0.4*N5)+(0.6*P5)</f>
        <v>0</v>
      </c>
    </row>
    <row r="6" spans="1:18" ht="25.5" customHeight="1" thickTop="1" thickBot="1" x14ac:dyDescent="0.3">
      <c r="A6" s="27"/>
      <c r="B6" s="28"/>
      <c r="C6" s="28"/>
      <c r="D6" s="23"/>
      <c r="E6" s="23"/>
      <c r="F6" s="23"/>
      <c r="G6" s="23"/>
      <c r="H6" s="39"/>
      <c r="I6" s="40"/>
      <c r="J6" s="1" t="s">
        <v>35</v>
      </c>
      <c r="K6" s="53" t="s">
        <v>13</v>
      </c>
      <c r="L6" s="54"/>
      <c r="M6" s="54"/>
      <c r="N6" s="54"/>
      <c r="O6" s="54"/>
      <c r="P6" s="54"/>
      <c r="Q6" s="54"/>
      <c r="R6" s="55"/>
    </row>
    <row r="7" spans="1:18" ht="25.5" customHeight="1" thickBot="1" x14ac:dyDescent="0.3">
      <c r="A7" s="29" t="s">
        <v>15</v>
      </c>
      <c r="B7" s="30"/>
      <c r="C7" s="30"/>
      <c r="D7" s="24">
        <v>0</v>
      </c>
      <c r="E7" s="24"/>
      <c r="F7" s="23">
        <f>R9</f>
        <v>0</v>
      </c>
      <c r="G7" s="23"/>
      <c r="H7" s="39">
        <f>F7</f>
        <v>0</v>
      </c>
      <c r="I7" s="40"/>
      <c r="J7" s="1" t="s">
        <v>33</v>
      </c>
      <c r="K7" s="68"/>
      <c r="L7" s="69"/>
      <c r="M7" s="8" t="s">
        <v>8</v>
      </c>
      <c r="N7" s="8" t="s">
        <v>9</v>
      </c>
      <c r="O7" s="8" t="s">
        <v>10</v>
      </c>
      <c r="P7" s="8" t="s">
        <v>11</v>
      </c>
      <c r="Q7" s="8" t="s">
        <v>14</v>
      </c>
      <c r="R7" s="9" t="s">
        <v>6</v>
      </c>
    </row>
    <row r="8" spans="1:18" ht="25.5" customHeight="1" thickBot="1" x14ac:dyDescent="0.3">
      <c r="A8" s="29"/>
      <c r="B8" s="30"/>
      <c r="C8" s="30"/>
      <c r="D8" s="24"/>
      <c r="E8" s="24"/>
      <c r="F8" s="23"/>
      <c r="G8" s="23"/>
      <c r="H8" s="39"/>
      <c r="I8" s="40"/>
      <c r="J8" s="1">
        <v>7</v>
      </c>
      <c r="K8" s="56" t="s">
        <v>25</v>
      </c>
      <c r="L8" s="57"/>
      <c r="M8" s="2"/>
      <c r="N8" s="2"/>
      <c r="O8" s="3" t="s">
        <v>0</v>
      </c>
      <c r="P8" s="3" t="s">
        <v>0</v>
      </c>
      <c r="Q8" s="3" t="s">
        <v>0</v>
      </c>
      <c r="R8" s="10">
        <f>(0.3333*M8)+(0.6667*N8)</f>
        <v>0</v>
      </c>
    </row>
    <row r="9" spans="1:18" ht="25.5" customHeight="1" thickBot="1" x14ac:dyDescent="0.3">
      <c r="A9" s="31" t="s">
        <v>16</v>
      </c>
      <c r="B9" s="32"/>
      <c r="C9" s="32"/>
      <c r="D9" s="24">
        <v>0</v>
      </c>
      <c r="E9" s="24"/>
      <c r="F9" s="23">
        <f>R10</f>
        <v>0</v>
      </c>
      <c r="G9" s="23"/>
      <c r="H9" s="39">
        <f t="shared" ref="H9" si="0">F9</f>
        <v>0</v>
      </c>
      <c r="I9" s="40"/>
      <c r="J9" s="1" t="s">
        <v>33</v>
      </c>
      <c r="K9" s="58" t="s">
        <v>29</v>
      </c>
      <c r="L9" s="59"/>
      <c r="M9" s="2"/>
      <c r="N9" s="2"/>
      <c r="O9" s="2"/>
      <c r="P9" s="3" t="s">
        <v>0</v>
      </c>
      <c r="Q9" s="3" t="s">
        <v>0</v>
      </c>
      <c r="R9" s="10">
        <f>(0.35*M9)+(0.35*N9)+(0.3*O9)</f>
        <v>0</v>
      </c>
    </row>
    <row r="10" spans="1:18" ht="25.5" customHeight="1" thickBot="1" x14ac:dyDescent="0.3">
      <c r="A10" s="31"/>
      <c r="B10" s="32"/>
      <c r="C10" s="32"/>
      <c r="D10" s="24"/>
      <c r="E10" s="24"/>
      <c r="F10" s="23"/>
      <c r="G10" s="23"/>
      <c r="H10" s="39"/>
      <c r="I10" s="40"/>
      <c r="J10" s="1" t="s">
        <v>35</v>
      </c>
      <c r="K10" s="60" t="s">
        <v>30</v>
      </c>
      <c r="L10" s="61"/>
      <c r="M10" s="2"/>
      <c r="N10" s="2"/>
      <c r="O10" s="2"/>
      <c r="P10" s="2"/>
      <c r="Q10" s="3" t="s">
        <v>0</v>
      </c>
      <c r="R10" s="10">
        <f>((1*M10)+(1*N10)+(1*O10)+(2*P10))/5</f>
        <v>0</v>
      </c>
    </row>
    <row r="11" spans="1:18" ht="25.5" customHeight="1" thickBot="1" x14ac:dyDescent="0.3">
      <c r="A11" s="33" t="s">
        <v>17</v>
      </c>
      <c r="B11" s="34"/>
      <c r="C11" s="34"/>
      <c r="D11" s="24">
        <v>0</v>
      </c>
      <c r="E11" s="24"/>
      <c r="F11" s="23">
        <f>R11</f>
        <v>0</v>
      </c>
      <c r="G11" s="23"/>
      <c r="H11" s="39">
        <f>F11</f>
        <v>0</v>
      </c>
      <c r="I11" s="40"/>
      <c r="J11" s="1" t="s">
        <v>33</v>
      </c>
      <c r="K11" s="62" t="s">
        <v>17</v>
      </c>
      <c r="L11" s="63"/>
      <c r="M11" s="2"/>
      <c r="N11" s="2"/>
      <c r="O11" s="2"/>
      <c r="P11" s="2"/>
      <c r="Q11" s="2"/>
      <c r="R11" s="10">
        <f>(0.2*M11)+(0.2*N11)+(0.2*O11)+(0.2*P11)+(0.2*Q11)</f>
        <v>0</v>
      </c>
    </row>
    <row r="12" spans="1:18" ht="25.5" customHeight="1" thickBot="1" x14ac:dyDescent="0.3">
      <c r="A12" s="33"/>
      <c r="B12" s="34"/>
      <c r="C12" s="34"/>
      <c r="D12" s="24"/>
      <c r="E12" s="24"/>
      <c r="F12" s="23"/>
      <c r="G12" s="23"/>
      <c r="H12" s="39"/>
      <c r="I12" s="40"/>
      <c r="J12" s="1">
        <v>7</v>
      </c>
      <c r="K12" s="64" t="s">
        <v>31</v>
      </c>
      <c r="L12" s="65"/>
      <c r="M12" s="2"/>
      <c r="N12" s="2"/>
      <c r="O12" s="2"/>
      <c r="P12" s="3" t="s">
        <v>0</v>
      </c>
      <c r="Q12" s="3" t="s">
        <v>0</v>
      </c>
      <c r="R12" s="10">
        <f>(0.35*M12)+(0.35*N12)+(0.3*O12)</f>
        <v>0</v>
      </c>
    </row>
    <row r="13" spans="1:18" ht="25.5" customHeight="1" thickBot="1" x14ac:dyDescent="0.3">
      <c r="A13" s="35" t="s">
        <v>18</v>
      </c>
      <c r="B13" s="36"/>
      <c r="C13" s="36"/>
      <c r="D13" s="23">
        <f>Q5</f>
        <v>0</v>
      </c>
      <c r="E13" s="23"/>
      <c r="F13" s="23">
        <f>R12</f>
        <v>0</v>
      </c>
      <c r="G13" s="23"/>
      <c r="H13" s="39">
        <f>(D13+F13)/2</f>
        <v>0</v>
      </c>
      <c r="I13" s="40"/>
      <c r="J13" s="1" t="s">
        <v>33</v>
      </c>
      <c r="K13" s="66" t="s">
        <v>32</v>
      </c>
      <c r="L13" s="67"/>
      <c r="M13" s="2"/>
      <c r="N13" s="2"/>
      <c r="O13" s="2"/>
      <c r="P13" s="3" t="s">
        <v>0</v>
      </c>
      <c r="Q13" s="3" t="s">
        <v>0</v>
      </c>
      <c r="R13" s="10">
        <f>(0.35*M13)+(0.35*N13)+(0.3*O13)</f>
        <v>0</v>
      </c>
    </row>
    <row r="14" spans="1:18" ht="25.5" customHeight="1" thickBot="1" x14ac:dyDescent="0.3">
      <c r="A14" s="35"/>
      <c r="B14" s="36"/>
      <c r="C14" s="36"/>
      <c r="D14" s="23"/>
      <c r="E14" s="23"/>
      <c r="F14" s="23"/>
      <c r="G14" s="23"/>
      <c r="H14" s="39"/>
      <c r="I14" s="40"/>
      <c r="J14" s="1" t="s">
        <v>34</v>
      </c>
      <c r="K14" s="45" t="s">
        <v>20</v>
      </c>
      <c r="L14" s="46"/>
      <c r="M14" s="2"/>
      <c r="N14" s="2"/>
      <c r="O14" s="2"/>
      <c r="P14" s="3" t="s">
        <v>0</v>
      </c>
      <c r="Q14" s="3" t="s">
        <v>0</v>
      </c>
      <c r="R14" s="10">
        <f>(0.35*M14)+(0.35*N14)+(0.3*O14)</f>
        <v>0</v>
      </c>
    </row>
    <row r="15" spans="1:18" ht="25.5" customHeight="1" thickBot="1" x14ac:dyDescent="0.3">
      <c r="A15" s="13" t="s">
        <v>19</v>
      </c>
      <c r="B15" s="14"/>
      <c r="C15" s="14"/>
      <c r="D15" s="24">
        <v>0</v>
      </c>
      <c r="E15" s="24"/>
      <c r="F15" s="23">
        <f>R13</f>
        <v>0</v>
      </c>
      <c r="G15" s="23"/>
      <c r="H15" s="39">
        <f t="shared" ref="H15" si="1">F15</f>
        <v>0</v>
      </c>
      <c r="I15" s="40"/>
      <c r="J15" s="1" t="s">
        <v>33</v>
      </c>
      <c r="K15" s="47" t="s">
        <v>26</v>
      </c>
      <c r="L15" s="48"/>
      <c r="M15" s="5"/>
      <c r="N15" s="5"/>
      <c r="O15" s="5"/>
      <c r="P15" s="5"/>
      <c r="Q15" s="4" t="s">
        <v>0</v>
      </c>
      <c r="R15" s="12">
        <f>(0.2*M15)+(0.2*N15)+(0.3*O15)+(0.3*P15)</f>
        <v>0</v>
      </c>
    </row>
    <row r="16" spans="1:18" ht="25.5" customHeight="1" thickBot="1" x14ac:dyDescent="0.3">
      <c r="A16" s="13"/>
      <c r="B16" s="14"/>
      <c r="C16" s="14"/>
      <c r="D16" s="24"/>
      <c r="E16" s="24"/>
      <c r="F16" s="23"/>
      <c r="G16" s="23"/>
      <c r="H16" s="39"/>
      <c r="I16" s="40"/>
      <c r="J16" s="1">
        <v>7</v>
      </c>
    </row>
    <row r="17" spans="1:10" ht="25.5" customHeight="1" thickBot="1" x14ac:dyDescent="0.3">
      <c r="A17" s="15" t="s">
        <v>20</v>
      </c>
      <c r="B17" s="16"/>
      <c r="C17" s="16"/>
      <c r="D17" s="24">
        <v>0</v>
      </c>
      <c r="E17" s="24"/>
      <c r="F17" s="23">
        <f>R14</f>
        <v>0</v>
      </c>
      <c r="G17" s="23"/>
      <c r="H17" s="39">
        <f t="shared" ref="H17" si="2">F17</f>
        <v>0</v>
      </c>
      <c r="I17" s="40"/>
      <c r="J17" s="1" t="s">
        <v>33</v>
      </c>
    </row>
    <row r="18" spans="1:10" ht="25.5" customHeight="1" thickBot="1" x14ac:dyDescent="0.3">
      <c r="A18" s="15"/>
      <c r="B18" s="16"/>
      <c r="C18" s="16"/>
      <c r="D18" s="24"/>
      <c r="E18" s="24"/>
      <c r="F18" s="23"/>
      <c r="G18" s="23"/>
      <c r="H18" s="39"/>
      <c r="I18" s="40"/>
      <c r="J18" s="1">
        <v>6.5</v>
      </c>
    </row>
    <row r="19" spans="1:10" ht="25.5" customHeight="1" thickBot="1" x14ac:dyDescent="0.3">
      <c r="A19" s="17" t="s">
        <v>21</v>
      </c>
      <c r="B19" s="18"/>
      <c r="C19" s="18"/>
      <c r="D19" s="24">
        <v>0</v>
      </c>
      <c r="E19" s="24"/>
      <c r="F19" s="23">
        <f>R15</f>
        <v>0</v>
      </c>
      <c r="G19" s="23"/>
      <c r="H19" s="39">
        <f>F19</f>
        <v>0</v>
      </c>
      <c r="I19" s="40"/>
      <c r="J19" s="1" t="s">
        <v>33</v>
      </c>
    </row>
    <row r="20" spans="1:10" ht="25.5" customHeight="1" thickBot="1" x14ac:dyDescent="0.3">
      <c r="A20" s="19"/>
      <c r="B20" s="20"/>
      <c r="C20" s="20"/>
      <c r="D20" s="37"/>
      <c r="E20" s="37"/>
      <c r="F20" s="38"/>
      <c r="G20" s="38"/>
      <c r="H20" s="41"/>
      <c r="I20" s="42"/>
      <c r="J20" s="1" t="s">
        <v>34</v>
      </c>
    </row>
    <row r="21" spans="1:10" ht="25.5" customHeight="1" thickTop="1" x14ac:dyDescent="0.25"/>
  </sheetData>
  <mergeCells count="55">
    <mergeCell ref="K14:L14"/>
    <mergeCell ref="K15:L15"/>
    <mergeCell ref="A1:C2"/>
    <mergeCell ref="K6:R6"/>
    <mergeCell ref="K8:L8"/>
    <mergeCell ref="K9:L9"/>
    <mergeCell ref="K10:L10"/>
    <mergeCell ref="K11:L11"/>
    <mergeCell ref="K12:L12"/>
    <mergeCell ref="K13:L13"/>
    <mergeCell ref="K7:L7"/>
    <mergeCell ref="K3:L3"/>
    <mergeCell ref="K4:L4"/>
    <mergeCell ref="K5:L5"/>
    <mergeCell ref="K1:Q1"/>
    <mergeCell ref="K2:L2"/>
    <mergeCell ref="H13:I14"/>
    <mergeCell ref="H15:I16"/>
    <mergeCell ref="H17:I18"/>
    <mergeCell ref="H19:I20"/>
    <mergeCell ref="H1:I2"/>
    <mergeCell ref="H3:I4"/>
    <mergeCell ref="H5:I6"/>
    <mergeCell ref="H7:I8"/>
    <mergeCell ref="H9:I10"/>
    <mergeCell ref="H11:I12"/>
    <mergeCell ref="D15:E16"/>
    <mergeCell ref="F15:G16"/>
    <mergeCell ref="D17:E18"/>
    <mergeCell ref="F17:G18"/>
    <mergeCell ref="D19:E20"/>
    <mergeCell ref="F19:G20"/>
    <mergeCell ref="A13:C14"/>
    <mergeCell ref="D9:E10"/>
    <mergeCell ref="F9:G10"/>
    <mergeCell ref="D11:E12"/>
    <mergeCell ref="F11:G12"/>
    <mergeCell ref="D13:E14"/>
    <mergeCell ref="F13:G14"/>
    <mergeCell ref="A15:C16"/>
    <mergeCell ref="A17:C18"/>
    <mergeCell ref="A19:C20"/>
    <mergeCell ref="D1:E2"/>
    <mergeCell ref="F1:G2"/>
    <mergeCell ref="D3:E4"/>
    <mergeCell ref="F3:G4"/>
    <mergeCell ref="D5:E6"/>
    <mergeCell ref="F5:G6"/>
    <mergeCell ref="D7:E8"/>
    <mergeCell ref="F7:G8"/>
    <mergeCell ref="A3:C4"/>
    <mergeCell ref="A5:C6"/>
    <mergeCell ref="A7:C8"/>
    <mergeCell ref="A9:C10"/>
    <mergeCell ref="A11:C12"/>
  </mergeCells>
  <phoneticPr fontId="2" type="noConversion"/>
  <conditionalFormatting sqref="H7 H11 H15">
    <cfRule type="cellIs" dxfId="7" priority="3" operator="between">
      <formula>5.95</formula>
      <formula>6.99999</formula>
    </cfRule>
    <cfRule type="cellIs" dxfId="6" priority="7" operator="greaterThanOrEqual">
      <formula>7</formula>
    </cfRule>
  </conditionalFormatting>
  <conditionalFormatting sqref="H13 H19">
    <cfRule type="cellIs" dxfId="5" priority="2" operator="between">
      <formula>5.95</formula>
      <formula>8.49999</formula>
    </cfRule>
    <cfRule type="cellIs" dxfId="4" priority="5" operator="greaterThanOrEqual">
      <formula>8.5</formula>
    </cfRule>
  </conditionalFormatting>
  <conditionalFormatting sqref="H17">
    <cfRule type="cellIs" dxfId="3" priority="1" operator="between">
      <formula>5.95</formula>
      <formula>6.4999999</formula>
    </cfRule>
  </conditionalFormatting>
  <conditionalFormatting sqref="H3:I6 H9">
    <cfRule type="cellIs" dxfId="2" priority="8" operator="greaterThanOrEqual">
      <formula>5.95</formula>
    </cfRule>
  </conditionalFormatting>
  <conditionalFormatting sqref="H3:I20">
    <cfRule type="cellIs" dxfId="1" priority="4" operator="lessThanOrEqual">
      <formula>5.95</formula>
    </cfRule>
  </conditionalFormatting>
  <conditionalFormatting sqref="H17:I18">
    <cfRule type="cellIs" dxfId="0" priority="6" operator="greaterThanOrEqual">
      <formula>6.5</formula>
    </cfRule>
  </conditionalFormatting>
  <pageMargins left="0.511811024" right="0.511811024" top="0.78740157499999996" bottom="0.78740157499999996" header="0.31496062000000002" footer="0.31496062000000002"/>
  <ignoredErrors>
    <ignoredError sqref="Q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MATHEUS JORGE ALVES LIMA</cp:lastModifiedBy>
  <dcterms:created xsi:type="dcterms:W3CDTF">2022-02-12T02:48:51Z</dcterms:created>
  <dcterms:modified xsi:type="dcterms:W3CDTF">2025-10-20T16:30:19Z</dcterms:modified>
</cp:coreProperties>
</file>